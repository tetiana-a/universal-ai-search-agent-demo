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1" hidden="1">'Results'!$A$1:$J$8</definedName>
    <definedName name="_xlnm.Print_Titles" localSheetId="1">'Results'!$1:$1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6EEDC"/>
      <sz val="20"/>
    </font>
    <font>
      <b val="1"/>
      <color rgb="0011110E"/>
    </font>
    <font>
      <b val="1"/>
      <color rgb="00D4AF37"/>
    </font>
    <font>
      <b val="1"/>
      <color rgb="00F6EEDC"/>
    </font>
    <font>
      <name val="Calibri"/>
      <family val="2"/>
      <color theme="10"/>
      <sz val="12"/>
      <scheme val="minor"/>
    </font>
    <font>
      <b val="1"/>
      <color rgb="002E7D43"/>
    </font>
  </fonts>
  <fills count="8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FCFAF4"/>
      </patternFill>
    </fill>
    <fill>
      <patternFill patternType="solid">
        <fgColor rgb="0011110E"/>
      </patternFill>
    </fill>
    <fill>
      <patternFill patternType="solid">
        <fgColor rgb="00E7F1E7"/>
      </patternFill>
    </fill>
    <fill>
      <patternFill patternType="solid">
        <fgColor rgb="00DFF2E3"/>
      </patternFill>
    </fill>
    <fill>
      <patternFill patternType="solid">
        <fgColor rgb="00F7EBC9"/>
      </patternFill>
    </fill>
  </fills>
  <borders count="2">
    <border>
      <left/>
      <right/>
      <top/>
      <bottom/>
      <diagonal/>
    </border>
    <border>
      <left style="thin">
        <color rgb="003A352B"/>
      </left>
      <right style="thin">
        <color rgb="003A352B"/>
      </right>
      <top style="thin">
        <color rgb="003A352B"/>
      </top>
      <bottom style="thin">
        <color rgb="003A352B"/>
      </bottom>
    </border>
  </borders>
  <cellStyleXfs count="2">
    <xf numFmtId="0" fontId="0" fillId="0" borderId="0"/>
    <xf numFmtId="0" fontId="5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5" fillId="0" borderId="0" pivotButton="0" quotePrefix="0" xfId="1"/>
    <xf numFmtId="0" fontId="0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4" borderId="1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DFF2E3"/>
        </patternFill>
      </fill>
    </dxf>
    <dxf>
      <fill>
        <patternFill patternType="solid">
          <fgColor rgb="00FFF1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ureliusResults" displayName="AureliusResults" ref="A1:J8" headerRowCount="1">
  <autoFilter ref="A1:J8"/>
  <tableColumns count="10">
    <tableColumn id="1" name="Title"/>
    <tableColumn id="2" name="Location"/>
    <tableColumn id="3" name="Area / Profile"/>
    <tableColumn id="4" name="Price / Round"/>
    <tableColumn id="5" name="Match"/>
    <tableColumn id="6" name="Evidence"/>
    <tableColumn id="7" name="Source"/>
    <tableColumn id="8" name="URL"/>
    <tableColumn id="9" name="Status"/>
    <tableColumn id="10" name="Quality Gat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mmobilienscout24.de/expose/111062864" TargetMode="External" Id="rId1"/><Relationship Type="http://schemas.openxmlformats.org/officeDocument/2006/relationships/hyperlink" Target="https://www.kleinanzeigen.de/s-anzeige/gewerbegrundstueck-4450qm-massive-hallen1450qm-buerocontainer-zosse/3493691602-277-7897" TargetMode="External" Id="rId2"/><Relationship Type="http://schemas.openxmlformats.org/officeDocument/2006/relationships/hyperlink" Target="https://www.kleinanzeigen.de/s-anzeige/attraktives-gewerbegrundstueck-fuer-logistik-gewerbe-industrie-produktion-und-lager-am-mellensee/3124511823-277-17781" TargetMode="External" Id="rId3"/><Relationship Type="http://schemas.openxmlformats.org/officeDocument/2006/relationships/hyperlink" Target="https://www.munich-business.eu/dam/jcr:2bc9679d-679c-418c-94b9-f8944e76098e/TPF_GE%204o_6.26.pdf" TargetMode="External" Id="rId4"/><Relationship Type="http://schemas.openxmlformats.org/officeDocument/2006/relationships/hyperlink" Target="https://stadt.muenchen.de/lhm-ms-wirtschaftsfoerderung/dam/jcr:40b46457-f8e4-40b9-a30f-b6e7815dc62d/2026_Infobrief-Technologiepark-Messestadt-RiemGE1-2.pdf" TargetMode="External" Id="rId5"/><Relationship Type="http://schemas.openxmlformats.org/officeDocument/2006/relationships/hyperlink" Target="https://www.immowelt.de/expose/44889a05-9b5d-4b39-8362-cdb1d9336168" TargetMode="External" Id="rId6"/><Relationship Type="http://schemas.openxmlformats.org/officeDocument/2006/relationships/hyperlink" Target="https://www.immobilienscout24.de/expose/161713282" TargetMode="External" Id="rId7"/><Relationship Type="http://schemas.openxmlformats.org/officeDocument/2006/relationships/table" Target="/xl/tables/table1.xm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mobilienscout24.de/expose/111062864" TargetMode="External" Id="rId1"/><Relationship Type="http://schemas.openxmlformats.org/officeDocument/2006/relationships/hyperlink" Target="https://www.kleinanzeigen.de/s-anzeige/gewerbegrundstueck-4450qm-massive-hallen1450qm-buerocontainer-zosse/3493691602-277-7897" TargetMode="External" Id="rId2"/><Relationship Type="http://schemas.openxmlformats.org/officeDocument/2006/relationships/hyperlink" Target="https://www.kleinanzeigen.de/s-anzeige/attraktives-gewerbegrundstueck-fuer-logistik-gewerbe-industrie-produktion-und-lager-am-mellensee/3124511823-277-17781" TargetMode="External" Id="rId3"/><Relationship Type="http://schemas.openxmlformats.org/officeDocument/2006/relationships/hyperlink" Target="https://www.munich-business.eu/dam/jcr:2bc9679d-679c-418c-94b9-f8944e76098e/TPF_GE%204o_6.26.pdf" TargetMode="External" Id="rId4"/><Relationship Type="http://schemas.openxmlformats.org/officeDocument/2006/relationships/hyperlink" Target="https://www.immowelt.de/expose/44889a05-9b5d-4b39-8362-cdb1d9336168" TargetMode="External" Id="rId5"/><Relationship Type="http://schemas.openxmlformats.org/officeDocument/2006/relationships/hyperlink" Target="https://www.immobilienscout24.de/expose/161713282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mmobilienscout24.de/expose/111062864" TargetMode="External" Id="rId1"/><Relationship Type="http://schemas.openxmlformats.org/officeDocument/2006/relationships/hyperlink" Target="https://www.kleinanzeigen.de/s-anzeige/gewerbegrundstueck-4450qm-massive-hallen1450qm-buerocontainer-zosse/3493691602-277-7897" TargetMode="External" Id="rId2"/><Relationship Type="http://schemas.openxmlformats.org/officeDocument/2006/relationships/hyperlink" Target="https://www.kleinanzeigen.de/s-anzeige/attraktives-gewerbegrundstueck-fuer-logistik-gewerbe-industrie-produktion-und-lager-am-mellensee/3124511823-277-17781" TargetMode="External" Id="rId3"/><Relationship Type="http://schemas.openxmlformats.org/officeDocument/2006/relationships/hyperlink" Target="https://www.munich-business.eu/dam/jcr:2bc9679d-679c-418c-94b9-f8944e76098e/TPF_GE%204o_6.26.pdf" TargetMode="External" Id="rId4"/><Relationship Type="http://schemas.openxmlformats.org/officeDocument/2006/relationships/hyperlink" Target="https://stadt.muenchen.de/lhm-ms-wirtschaftsfoerderung/dam/jcr:40b46457-f8e4-40b9-a30f-b6e7815dc62d/2026_Infobrief-Technologiepark-Messestadt-RiemGE1-2.pdf" TargetMode="External" Id="rId5"/><Relationship Type="http://schemas.openxmlformats.org/officeDocument/2006/relationships/hyperlink" Target="https://www.immowelt.de/expose/44889a05-9b5d-4b39-8362-cdb1d9336168" TargetMode="External" Id="rId6"/><Relationship Type="http://schemas.openxmlformats.org/officeDocument/2006/relationships/hyperlink" Target="https://www.immobilienscout24.de/expose/16171328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4" customHeight="1">
      <c r="A1" s="1" t="inlineStr">
        <is>
          <t>AURELIUS • RESEARCH EXPORT</t>
        </is>
      </c>
    </row>
    <row r="2" ht="16" customHeight="1"/>
    <row r="4">
      <c r="A4" t="inlineStr">
        <is>
          <t>Research</t>
        </is>
      </c>
      <c r="B4" t="inlineStr">
        <is>
          <t>Germany commercial / industrial land — current demo export</t>
        </is>
      </c>
    </row>
    <row r="5">
      <c r="A5" t="inlineStr">
        <is>
          <t>Generated</t>
        </is>
      </c>
      <c r="B5" t="inlineStr">
        <is>
          <t>2026-10-02 09:41 UTC</t>
        </is>
      </c>
    </row>
    <row r="6">
      <c r="A6" t="inlineStr">
        <is>
          <t>Dataset</t>
        </is>
      </c>
      <c r="B6" t="inlineStr">
        <is>
          <t>Current demo / supplied CSV</t>
        </is>
      </c>
    </row>
    <row r="8">
      <c r="A8" t="inlineStr">
        <is>
          <t>KPI</t>
        </is>
      </c>
      <c r="B8" t="inlineStr">
        <is>
          <t>Value</t>
        </is>
      </c>
    </row>
    <row r="9">
      <c r="A9" s="2" t="inlineStr">
        <is>
          <t>Qualified rows</t>
        </is>
      </c>
      <c r="B9" s="3" t="n">
        <v>7</v>
      </c>
    </row>
    <row r="10">
      <c r="A10" s="4" t="inlineStr">
        <is>
          <t>Unique sources</t>
        </is>
      </c>
      <c r="B10" s="5" t="n">
        <v>6</v>
      </c>
    </row>
    <row r="11">
      <c r="A11" s="2" t="inlineStr">
        <is>
          <t>Unique domains</t>
        </is>
      </c>
      <c r="B11" s="3" t="n">
        <v>5</v>
      </c>
    </row>
    <row r="12">
      <c r="A12" s="4" t="inlineStr">
        <is>
          <t>Quality PASS</t>
        </is>
      </c>
      <c r="B12" s="5" t="n">
        <v>7</v>
      </c>
    </row>
    <row r="13">
      <c r="A13" s="2" t="inlineStr">
        <is>
          <t>Manual review</t>
        </is>
      </c>
      <c r="B13" s="3" t="n">
        <v>1</v>
      </c>
    </row>
    <row r="14">
      <c r="A14" s="4" t="inlineStr">
        <is>
          <t>Average match</t>
        </is>
      </c>
      <c r="B14" s="5" t="n">
        <v>93.40000000000001</v>
      </c>
    </row>
    <row r="15">
      <c r="A15" s="2" t="inlineStr">
        <is>
          <t>Evidence coverage</t>
        </is>
      </c>
      <c r="B15" s="3" t="inlineStr">
        <is>
          <t>100%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18" customWidth="1" min="3" max="3"/>
    <col width="20" customWidth="1" min="4" max="4"/>
    <col width="10" customWidth="1" min="5" max="5"/>
    <col width="68" customWidth="1" min="6" max="6"/>
    <col width="32" customWidth="1" min="7" max="7"/>
    <col width="55" customWidth="1" min="8" max="8"/>
    <col width="18" customWidth="1" min="9" max="9"/>
    <col width="14" customWidth="1" min="10" max="10"/>
  </cols>
  <sheetData>
    <row r="1" ht="28" customHeight="1">
      <c r="A1" s="6" t="inlineStr">
        <is>
          <t>Title</t>
        </is>
      </c>
      <c r="B1" s="6" t="inlineStr">
        <is>
          <t>Location</t>
        </is>
      </c>
      <c r="C1" s="6" t="inlineStr">
        <is>
          <t>Area / Profile</t>
        </is>
      </c>
      <c r="D1" s="6" t="inlineStr">
        <is>
          <t>Price / Round</t>
        </is>
      </c>
      <c r="E1" s="6" t="inlineStr">
        <is>
          <t>Match</t>
        </is>
      </c>
      <c r="F1" s="6" t="inlineStr">
        <is>
          <t>Evidence</t>
        </is>
      </c>
      <c r="G1" s="6" t="inlineStr">
        <is>
          <t>Source</t>
        </is>
      </c>
      <c r="H1" s="6" t="inlineStr">
        <is>
          <t>URL</t>
        </is>
      </c>
      <c r="I1" s="6" t="inlineStr">
        <is>
          <t>Status</t>
        </is>
      </c>
      <c r="J1" s="6" t="inlineStr">
        <is>
          <t>Quality Gate</t>
        </is>
      </c>
    </row>
    <row r="2" ht="72" customHeight="1">
      <c r="A2" s="7" t="inlineStr">
        <is>
          <t>Gewerbegrundstück mit sehr guter Anbindung</t>
        </is>
      </c>
      <c r="B2" s="7" t="inlineStr">
        <is>
          <t>Berlin-Johannisthal, Berlin</t>
        </is>
      </c>
      <c r="C2" s="7" t="inlineStr">
        <is>
          <t>1.860 м²</t>
        </is>
      </c>
      <c r="D2" s="7" t="inlineStr">
        <is>
          <t>1.780.000 EUR</t>
        </is>
      </c>
      <c r="E2" s="8" t="n">
        <v>0.91</v>
      </c>
      <c r="F2" s="7" t="inlineStr">
        <is>
          <t>Прямая активная карточка указывает 1.860 м², покупку, Nutzung: Gewerbe и немедленную доступность. Участок расположен в Gewerbegebiet; действует Bebauungsplan XV-54 c. Допустимо не создающее помех коммерческое использование, включая офисные и административные здания; окружение включает складские площади. Коммуникации: в карточке заявлена потенциальная доступность оптоволокна до 1.000 MBit/s. Кадастровый номер не указан.</t>
        </is>
      </c>
      <c r="G2" s="7" t="inlineStr">
        <is>
          <t>ImmoScout24 / KOENGETER IMMOBILIEN</t>
        </is>
      </c>
      <c r="H2" s="9" t="inlineStr">
        <is>
          <t>https://www.immobilienscout24.de/expose/111062864</t>
        </is>
      </c>
      <c r="I2" s="10" t="inlineStr">
        <is>
          <t>Reviewed</t>
        </is>
      </c>
      <c r="J2" s="11" t="inlineStr">
        <is>
          <t>PASS</t>
        </is>
      </c>
    </row>
    <row r="3" ht="72" customHeight="1">
      <c r="A3" s="12" t="inlineStr">
        <is>
          <t>GewerbeGrundstück 4450qm + massive Hallen 1450qm + Bürocontainer, Zossen</t>
        </is>
      </c>
      <c r="B3" s="12" t="inlineStr">
        <is>
          <t>Zossen-Wünsdorf, Brandenburg</t>
        </is>
      </c>
      <c r="C3" s="12" t="inlineStr">
        <is>
          <t>4.450 м²</t>
        </is>
      </c>
      <c r="D3" s="12" t="inlineStr">
        <is>
          <t>990.000 EUR</t>
        </is>
      </c>
      <c r="E3" s="13" t="n">
        <v>0.96</v>
      </c>
      <c r="F3" s="12" t="inlineStr">
        <is>
          <t>Частное объявление от 24.08.2026: участок 4.450 м² в Gewerbegebiet, объектная категория Lager, Hallen &amp; Produktion; две группы холодных складов общей площадью около 1.450 м². Указано полное освоение участка, электроснабжение 380 V/30 kW, водопровод, сильный ток, парковка, LKW-доступ, бетонные проезды и ограждение. Кадастровые сведения не опубликованы.</t>
        </is>
      </c>
      <c r="G3" s="12" t="inlineStr">
        <is>
          <t>Kleinanzeigen, частный продавец</t>
        </is>
      </c>
      <c r="H3" s="9" t="inlineStr">
        <is>
          <t>https://www.kleinanzeigen.de/s-anzeige/gewerbegrundstueck-4450qm-massive-hallen1450qm-buerocontainer-zosse/3493691602-277-7897</t>
        </is>
      </c>
      <c r="I3" s="14" t="inlineStr">
        <is>
          <t>Manual review</t>
        </is>
      </c>
      <c r="J3" s="11" t="inlineStr">
        <is>
          <t>PASS</t>
        </is>
      </c>
    </row>
    <row r="4" ht="72" customHeight="1">
      <c r="A4" s="7" t="inlineStr">
        <is>
          <t>Gewerbegrundstück für Logistik, Industrie, Produktion und Lager am Mellensee</t>
        </is>
      </c>
      <c r="B4" s="7" t="inlineStr">
        <is>
          <t>Am Mellensee, OT Sperenberg, Brandenburg</t>
        </is>
      </c>
      <c r="C4" s="7" t="inlineStr">
        <is>
          <t>около 34.000 м²</t>
        </is>
      </c>
      <c r="D4" s="7" t="inlineStr">
        <is>
          <t>1.750.000 EUR</t>
        </is>
      </c>
      <c r="E4" s="8" t="n">
        <v>0.98</v>
      </c>
      <c r="F4" s="7" t="inlineStr">
        <is>
          <t>Объявление указывает ровный участок около 3,4 га для логистики, склада, промышленности, производства и коммерции; цена также обозначена как 50 EUR/м². Коммуникации: силовая линия на площадке. Доступность — сразу; подъезд через B96 и A10. Опционально предлагается соседняя производственно-складская Halle до 3.200 м². Кадастровая информация не указана. Идентификатор объекта KBSW25019.</t>
        </is>
      </c>
      <c r="G4" s="7" t="inlineStr">
        <is>
          <t>Kleinanzeigen / KENSINGTON Berlin-Südwest</t>
        </is>
      </c>
      <c r="H4" s="9" t="inlineStr">
        <is>
          <t>https://www.kleinanzeigen.de/s-anzeige/attraktives-gewerbegrundstueck-fuer-logistik-gewerbe-industrie-produktion-und-lager-am-mellensee/3124511823-277-17781</t>
        </is>
      </c>
      <c r="I4" s="10" t="inlineStr">
        <is>
          <t>Reviewed</t>
        </is>
      </c>
      <c r="J4" s="11" t="inlineStr">
        <is>
          <t>PASS</t>
        </is>
      </c>
    </row>
    <row r="5" ht="72" customHeight="1">
      <c r="A5" s="12" t="inlineStr">
        <is>
          <t>Technologiepark Freiham — Gewerbegrundstück GE 4 Ost</t>
        </is>
      </c>
      <c r="B5" s="12" t="inlineStr">
        <is>
          <t>München-Freiham, Bayern</t>
        </is>
      </c>
      <c r="C5" s="12" t="inlineStr">
        <is>
          <t>около 4.390 м²</t>
        </is>
      </c>
      <c r="D5" s="12" t="inlineStr">
        <is>
          <t>не указано; Erbbaurecht на 40–60 лет</t>
        </is>
      </c>
      <c r="E5" s="13" t="n">
        <v>0.92</v>
      </c>
      <c r="F5" s="12" t="inlineStr">
        <is>
          <t>Официальное экспозе Landeshauptstadt München: Flurstück 3508/44, Gemarkung Aubing; площадь около 4.390 м², BGF 8.000 м². Bebauungsplan Nr. 1916 a, GFZ 1,82, GRZ 0,8, Traufhöhe 16 м. Назначение: исследования, разработки и не создающее помех производство, включая life sciences и ИКТ. Расположение между A96 и A99; рядом S-Bahn Freiham. Отдельные инженерные подключения в экспозе не перечислены.</t>
        </is>
      </c>
      <c r="G5" s="12" t="inlineStr">
        <is>
          <t>Landeshauptstadt München — Referat für Arbeit und Wirtschaft</t>
        </is>
      </c>
      <c r="H5" s="9" t="inlineStr">
        <is>
          <t>https://www.munich-business.eu/dam/jcr:2bc9679d-679c-418c-94b9-f8944e76098e/TPF_GE%204o_6.26.pdf</t>
        </is>
      </c>
      <c r="I5" s="12" t="inlineStr">
        <is>
          <t>Verified</t>
        </is>
      </c>
      <c r="J5" s="11" t="inlineStr">
        <is>
          <t>PASS</t>
        </is>
      </c>
    </row>
    <row r="6" ht="72" customHeight="1">
      <c r="A6" s="7" t="inlineStr">
        <is>
          <t>Technologiepark Messestadt Riem — Gewerbegrundstück GE 1</t>
        </is>
      </c>
      <c r="B6" s="7" t="inlineStr">
        <is>
          <t>München-Riem, Bayern</t>
        </is>
      </c>
      <c r="C6" s="7" t="inlineStr">
        <is>
          <t>4.350 м²</t>
        </is>
      </c>
      <c r="D6" s="7" t="inlineStr">
        <is>
          <t>не указано; муниципальная процедура предоставления</t>
        </is>
      </c>
      <c r="E6" s="8" t="n">
        <v>0.9</v>
      </c>
      <c r="F6" s="7" t="inlineStr">
        <is>
          <t>Официальная Flächeninformation 2026: Flurstück 1408/407, Gemarkung Trudering; площадь 4.350 м², GRZ 0,8, допустимая Geschossfläche 11.600 м². Bebauungsplan 1728d разрешает R&amp;D, выставки/обучение, не создающее помех производство, изготовление, сбыт и сервис. Коммуникации отдельно не указаны. Участок рядом U2 Messestadt West и автобусом 139.</t>
        </is>
      </c>
      <c r="G6" s="7" t="inlineStr">
        <is>
          <t>Landeshauptstadt München — Referat für Arbeit und Wirtschaft</t>
        </is>
      </c>
      <c r="H6" s="9" t="inlineStr">
        <is>
          <t>https://stadt.muenchen.de/lhm-ms-wirtschaftsfoerderung/dam/jcr:40b46457-f8e4-40b9-a30f-b6e7815dc62d/2026_Infobrief-Technologiepark-Messestadt-RiemGE1-2.pdf</t>
        </is>
      </c>
      <c r="I6" s="7" t="inlineStr">
        <is>
          <t>Verified</t>
        </is>
      </c>
      <c r="J6" s="11" t="inlineStr">
        <is>
          <t>PASS</t>
        </is>
      </c>
    </row>
    <row r="7" ht="72" customHeight="1">
      <c r="A7" s="12" t="inlineStr">
        <is>
          <t>Zentrales Gewerbegrundstück mit vielerlei Nutzungsmöglichkeiten</t>
        </is>
      </c>
      <c r="B7" s="12" t="inlineStr">
        <is>
          <t>Hamburg-Tonndorf, Hamburg</t>
        </is>
      </c>
      <c r="C7" s="12" t="inlineStr">
        <is>
          <t>2.609 м²</t>
        </is>
      </c>
      <c r="D7" s="12" t="inlineStr">
        <is>
          <t>4.000.000 EUR</t>
        </is>
      </c>
      <c r="E7" s="13" t="n">
        <v>0.93</v>
      </c>
      <c r="F7" s="12" t="inlineStr">
        <is>
          <t>Прямая карточка указывает 2.609 м² и действующий Bebauungsplan с категорией GE, GRZ 0,8, BMZ 8,0 и максимальной высотой 12/18 м. В качестве возможного использования прямо назван self-storage и иные коммерческие площади. Участок сейчас сдан в аренду, освобождение возможно через три месяца после нотариального оформления. Важное ограничение: Flurstück внесён в Altlastenregister. Номер Flurstück и коммуникации не указаны.</t>
        </is>
      </c>
      <c r="G7" s="12" t="inlineStr">
        <is>
          <t>Immowelt / von Poll Commercial Hamburg</t>
        </is>
      </c>
      <c r="H7" s="9" t="inlineStr">
        <is>
          <t>https://www.immowelt.de/expose/44889a05-9b5d-4b39-8362-cdb1d9336168</t>
        </is>
      </c>
      <c r="I7" s="10" t="inlineStr">
        <is>
          <t>Reviewed</t>
        </is>
      </c>
      <c r="J7" s="11" t="inlineStr">
        <is>
          <t>PASS</t>
        </is>
      </c>
    </row>
    <row r="8" ht="72" customHeight="1">
      <c r="A8" s="7" t="inlineStr">
        <is>
          <t>Attraktive Gewerbegrundstücke im neuen VICTORIA PARK HAMBURG — 4.000 м²</t>
        </is>
      </c>
      <c r="B8" s="7" t="inlineStr">
        <is>
          <t>Hamburg-Rahlstedt, Hamburg</t>
        </is>
      </c>
      <c r="C8" s="7" t="inlineStr">
        <is>
          <t>4.000 м²</t>
        </is>
      </c>
      <c r="D8" s="7" t="inlineStr">
        <is>
          <t>по запросу</t>
        </is>
      </c>
      <c r="E8" s="8" t="n">
        <v>0.9399999999999999</v>
      </c>
      <c r="F8" s="7" t="inlineStr">
        <is>
          <t>Активная карточка предлагает участок 4.000 м², покупку и Nutzung: Gewerbe. Проектная страница Victoria Park подтверждает назначение Baufelder для service, производства, офисов или склада; Bebauungsplan Rahlstedt 131, категория GE, GRZ 0,75, максимальная высота 20 м. Инфраструктура проекта предусматривает защищённую пропускную способность до 100 Gbit/s; рядом A1 и A24. Flurstück в публичной карточке не указано.</t>
        </is>
      </c>
      <c r="G8" s="7" t="inlineStr">
        <is>
          <t>ImmoScout24 / Grossmann &amp; Berger; cross-check Victoria Park Hamburg</t>
        </is>
      </c>
      <c r="H8" s="9" t="inlineStr">
        <is>
          <t>https://www.immobilienscout24.de/expose/161713282</t>
        </is>
      </c>
      <c r="I8" s="10" t="inlineStr">
        <is>
          <t>Reviewed</t>
        </is>
      </c>
      <c r="J8" s="11" t="inlineStr">
        <is>
          <t>PASS</t>
        </is>
      </c>
    </row>
  </sheetData>
  <autoFilter ref="A1:J8"/>
  <conditionalFormatting sqref="E2:E8">
    <cfRule type="cellIs" priority="1" operator="greaterThanOrEqual" dxfId="0">
      <formula>0.9</formula>
    </cfRule>
    <cfRule type="cellIs" priority="2" operator="between" dxfId="1">
      <formula>0.8</formula>
      <formula>0.899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0" customWidth="1" min="3" max="3"/>
    <col width="14" customWidth="1" min="4" max="4"/>
    <col width="70" customWidth="1" min="5" max="5"/>
  </cols>
  <sheetData>
    <row r="1">
      <c r="A1" s="15" t="inlineStr">
        <is>
          <t>Source</t>
        </is>
      </c>
      <c r="B1" s="15" t="inlineStr">
        <is>
          <t>Domain</t>
        </is>
      </c>
      <c r="C1" s="15" t="inlineStr">
        <is>
          <t>Rows</t>
        </is>
      </c>
      <c r="D1" s="15" t="inlineStr">
        <is>
          <t>Quality PASS</t>
        </is>
      </c>
      <c r="E1" s="15" t="inlineStr">
        <is>
          <t>URL</t>
        </is>
      </c>
    </row>
    <row r="2">
      <c r="A2" s="12" t="inlineStr">
        <is>
          <t>ImmoScout24 / KOENGETER IMMOBILIEN</t>
        </is>
      </c>
      <c r="B2" s="12" t="inlineStr">
        <is>
          <t>www.immobilienscout24.de</t>
        </is>
      </c>
      <c r="C2" s="12" t="n">
        <v>1</v>
      </c>
      <c r="D2" s="12" t="n">
        <v>1</v>
      </c>
      <c r="E2" s="9" t="inlineStr">
        <is>
          <t>https://www.immobilienscout24.de/expose/111062864</t>
        </is>
      </c>
    </row>
    <row r="3">
      <c r="A3" s="12" t="inlineStr">
        <is>
          <t>Kleinanzeigen, частный продавец</t>
        </is>
      </c>
      <c r="B3" s="12" t="inlineStr">
        <is>
          <t>www.kleinanzeigen.de</t>
        </is>
      </c>
      <c r="C3" s="12" t="n">
        <v>1</v>
      </c>
      <c r="D3" s="12" t="n">
        <v>1</v>
      </c>
      <c r="E3" s="9" t="inlineStr">
        <is>
          <t>https://www.kleinanzeigen.de/s-anzeige/gewerbegrundstueck-4450qm-massive-hallen1450qm-buerocontainer-zosse/3493691602-277-7897</t>
        </is>
      </c>
    </row>
    <row r="4">
      <c r="A4" s="12" t="inlineStr">
        <is>
          <t>Kleinanzeigen / KENSINGTON Berlin-Südwest</t>
        </is>
      </c>
      <c r="B4" s="12" t="inlineStr">
        <is>
          <t>www.kleinanzeigen.de</t>
        </is>
      </c>
      <c r="C4" s="12" t="n">
        <v>1</v>
      </c>
      <c r="D4" s="12" t="n">
        <v>1</v>
      </c>
      <c r="E4" s="9" t="inlineStr">
        <is>
          <t>https://www.kleinanzeigen.de/s-anzeige/attraktives-gewerbegrundstueck-fuer-logistik-gewerbe-industrie-produktion-und-lager-am-mellensee/3124511823-277-17781</t>
        </is>
      </c>
    </row>
    <row r="5">
      <c r="A5" s="12" t="inlineStr">
        <is>
          <t>Landeshauptstadt München — Referat für Arbeit und Wirtschaft</t>
        </is>
      </c>
      <c r="B5" s="12" t="inlineStr">
        <is>
          <t>www.munich-business.eu</t>
        </is>
      </c>
      <c r="C5" s="12" t="n">
        <v>2</v>
      </c>
      <c r="D5" s="12" t="n">
        <v>2</v>
      </c>
      <c r="E5" s="9" t="inlineStr">
        <is>
          <t>https://www.munich-business.eu/dam/jcr:2bc9679d-679c-418c-94b9-f8944e76098e/TPF_GE%204o_6.26.pdf</t>
        </is>
      </c>
    </row>
    <row r="6">
      <c r="A6" s="12" t="inlineStr">
        <is>
          <t>Immowelt / von Poll Commercial Hamburg</t>
        </is>
      </c>
      <c r="B6" s="12" t="inlineStr">
        <is>
          <t>www.immowelt.de</t>
        </is>
      </c>
      <c r="C6" s="12" t="n">
        <v>1</v>
      </c>
      <c r="D6" s="12" t="n">
        <v>1</v>
      </c>
      <c r="E6" s="9" t="inlineStr">
        <is>
          <t>https://www.immowelt.de/expose/44889a05-9b5d-4b39-8362-cdb1d9336168</t>
        </is>
      </c>
    </row>
    <row r="7">
      <c r="A7" s="12" t="inlineStr">
        <is>
          <t>ImmoScout24 / Grossmann &amp; Berger; cross-check Victoria Park Hamburg</t>
        </is>
      </c>
      <c r="B7" s="12" t="inlineStr">
        <is>
          <t>www.immobilienscout24.de</t>
        </is>
      </c>
      <c r="C7" s="12" t="n">
        <v>1</v>
      </c>
      <c r="D7" s="12" t="n">
        <v>1</v>
      </c>
      <c r="E7" s="9" t="inlineStr">
        <is>
          <t>https://www.immobilienscout24.de/expose/161713282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90" customWidth="1" min="3" max="3"/>
    <col width="65" customWidth="1" min="4" max="4"/>
    <col width="14" customWidth="1" min="5" max="5"/>
  </cols>
  <sheetData>
    <row r="1">
      <c r="A1" s="15" t="inlineStr">
        <is>
          <t>Result</t>
        </is>
      </c>
      <c r="B1" s="15" t="inlineStr">
        <is>
          <t>Source</t>
        </is>
      </c>
      <c r="C1" s="15" t="inlineStr">
        <is>
          <t>Evidence</t>
        </is>
      </c>
      <c r="D1" s="15" t="inlineStr">
        <is>
          <t>URL</t>
        </is>
      </c>
      <c r="E1" s="15" t="inlineStr">
        <is>
          <t>Quality Gate</t>
        </is>
      </c>
    </row>
    <row r="2" ht="90" customHeight="1">
      <c r="A2" s="12" t="inlineStr">
        <is>
          <t>Gewerbegrundstück mit sehr guter Anbindung</t>
        </is>
      </c>
      <c r="B2" s="12" t="inlineStr">
        <is>
          <t>ImmoScout24 / KOENGETER IMMOBILIEN</t>
        </is>
      </c>
      <c r="C2" s="12" t="inlineStr">
        <is>
          <t>Прямая активная карточка указывает 1.860 м², покупку, Nutzung: Gewerbe и немедленную доступность. Участок расположен в Gewerbegebiet; действует Bebauungsplan XV-54 c. Допустимо не создающее помех коммерческое использование, включая офисные и административные здания; окружение включает складские площади. Коммуникации: в карточке заявлена потенциальная доступность оптоволокна до 1.000 MBit/s. Кадастровый номер не указан.</t>
        </is>
      </c>
      <c r="D2" s="9" t="inlineStr">
        <is>
          <t>https://www.immobilienscout24.de/expose/111062864</t>
        </is>
      </c>
      <c r="E2" s="12" t="inlineStr">
        <is>
          <t>PASS</t>
        </is>
      </c>
    </row>
    <row r="3" ht="90" customHeight="1">
      <c r="A3" s="12" t="inlineStr">
        <is>
          <t>GewerbeGrundstück 4450qm + massive Hallen 1450qm + Bürocontainer, Zossen</t>
        </is>
      </c>
      <c r="B3" s="12" t="inlineStr">
        <is>
          <t>Kleinanzeigen, частный продавец</t>
        </is>
      </c>
      <c r="C3" s="12" t="inlineStr">
        <is>
          <t>Частное объявление от 24.08.2026: участок 4.450 м² в Gewerbegebiet, объектная категория Lager, Hallen &amp; Produktion; две группы холодных складов общей площадью около 1.450 м². Указано полное освоение участка, электроснабжение 380 V/30 kW, водопровод, сильный ток, парковка, LKW-доступ, бетонные проезды и ограждение. Кадастровые сведения не опубликованы.</t>
        </is>
      </c>
      <c r="D3" s="9" t="inlineStr">
        <is>
          <t>https://www.kleinanzeigen.de/s-anzeige/gewerbegrundstueck-4450qm-massive-hallen1450qm-buerocontainer-zosse/3493691602-277-7897</t>
        </is>
      </c>
      <c r="E3" s="12" t="inlineStr">
        <is>
          <t>PASS</t>
        </is>
      </c>
    </row>
    <row r="4" ht="90" customHeight="1">
      <c r="A4" s="12" t="inlineStr">
        <is>
          <t>Gewerbegrundstück für Logistik, Industrie, Produktion und Lager am Mellensee</t>
        </is>
      </c>
      <c r="B4" s="12" t="inlineStr">
        <is>
          <t>Kleinanzeigen / KENSINGTON Berlin-Südwest</t>
        </is>
      </c>
      <c r="C4" s="12" t="inlineStr">
        <is>
          <t>Объявление указывает ровный участок около 3,4 га для логистики, склада, промышленности, производства и коммерции; цена также обозначена как 50 EUR/м². Коммуникации: силовая линия на площадке. Доступность — сразу; подъезд через B96 и A10. Опционально предлагается соседняя производственно-складская Halle до 3.200 м². Кадастровая информация не указана. Идентификатор объекта KBSW25019.</t>
        </is>
      </c>
      <c r="D4" s="9" t="inlineStr">
        <is>
          <t>https://www.kleinanzeigen.de/s-anzeige/attraktives-gewerbegrundstueck-fuer-logistik-gewerbe-industrie-produktion-und-lager-am-mellensee/3124511823-277-17781</t>
        </is>
      </c>
      <c r="E4" s="12" t="inlineStr">
        <is>
          <t>PASS</t>
        </is>
      </c>
    </row>
    <row r="5" ht="90" customHeight="1">
      <c r="A5" s="12" t="inlineStr">
        <is>
          <t>Technologiepark Freiham — Gewerbegrundstück GE 4 Ost</t>
        </is>
      </c>
      <c r="B5" s="12" t="inlineStr">
        <is>
          <t>Landeshauptstadt München — Referat für Arbeit und Wirtschaft</t>
        </is>
      </c>
      <c r="C5" s="12" t="inlineStr">
        <is>
          <t>Официальное экспозе Landeshauptstadt München: Flurstück 3508/44, Gemarkung Aubing; площадь около 4.390 м², BGF 8.000 м². Bebauungsplan Nr. 1916 a, GFZ 1,82, GRZ 0,8, Traufhöhe 16 м. Назначение: исследования, разработки и не создающее помех производство, включая life sciences и ИКТ. Расположение между A96 и A99; рядом S-Bahn Freiham. Отдельные инженерные подключения в экспозе не перечислены.</t>
        </is>
      </c>
      <c r="D5" s="9" t="inlineStr">
        <is>
          <t>https://www.munich-business.eu/dam/jcr:2bc9679d-679c-418c-94b9-f8944e76098e/TPF_GE%204o_6.26.pdf</t>
        </is>
      </c>
      <c r="E5" s="12" t="inlineStr">
        <is>
          <t>PASS</t>
        </is>
      </c>
    </row>
    <row r="6" ht="90" customHeight="1">
      <c r="A6" s="12" t="inlineStr">
        <is>
          <t>Technologiepark Messestadt Riem — Gewerbegrundstück GE 1</t>
        </is>
      </c>
      <c r="B6" s="12" t="inlineStr">
        <is>
          <t>Landeshauptstadt München — Referat für Arbeit und Wirtschaft</t>
        </is>
      </c>
      <c r="C6" s="12" t="inlineStr">
        <is>
          <t>Официальная Flächeninformation 2026: Flurstück 1408/407, Gemarkung Trudering; площадь 4.350 м², GRZ 0,8, допустимая Geschossfläche 11.600 м². Bebauungsplan 1728d разрешает R&amp;D, выставки/обучение, не создающее помех производство, изготовление, сбыт и сервис. Коммуникации отдельно не указаны. Участок рядом U2 Messestadt West и автобусом 139.</t>
        </is>
      </c>
      <c r="D6" s="9" t="inlineStr">
        <is>
          <t>https://stadt.muenchen.de/lhm-ms-wirtschaftsfoerderung/dam/jcr:40b46457-f8e4-40b9-a30f-b6e7815dc62d/2026_Infobrief-Technologiepark-Messestadt-RiemGE1-2.pdf</t>
        </is>
      </c>
      <c r="E6" s="12" t="inlineStr">
        <is>
          <t>PASS</t>
        </is>
      </c>
    </row>
    <row r="7" ht="90" customHeight="1">
      <c r="A7" s="12" t="inlineStr">
        <is>
          <t>Zentrales Gewerbegrundstück mit vielerlei Nutzungsmöglichkeiten</t>
        </is>
      </c>
      <c r="B7" s="12" t="inlineStr">
        <is>
          <t>Immowelt / von Poll Commercial Hamburg</t>
        </is>
      </c>
      <c r="C7" s="12" t="inlineStr">
        <is>
          <t>Прямая карточка указывает 2.609 м² и действующий Bebauungsplan с категорией GE, GRZ 0,8, BMZ 8,0 и максимальной высотой 12/18 м. В качестве возможного использования прямо назван self-storage и иные коммерческие площади. Участок сейчас сдан в аренду, освобождение возможно через три месяца после нотариального оформления. Важное ограничение: Flurstück внесён в Altlastenregister. Номер Flurstück и коммуникации не указаны.</t>
        </is>
      </c>
      <c r="D7" s="9" t="inlineStr">
        <is>
          <t>https://www.immowelt.de/expose/44889a05-9b5d-4b39-8362-cdb1d9336168</t>
        </is>
      </c>
      <c r="E7" s="12" t="inlineStr">
        <is>
          <t>PASS</t>
        </is>
      </c>
    </row>
    <row r="8" ht="90" customHeight="1">
      <c r="A8" s="12" t="inlineStr">
        <is>
          <t>Attraktive Gewerbegrundstücke im neuen VICTORIA PARK HAMBURG — 4.000 м²</t>
        </is>
      </c>
      <c r="B8" s="12" t="inlineStr">
        <is>
          <t>ImmoScout24 / Grossmann &amp; Berger; cross-check Victoria Park Hamburg</t>
        </is>
      </c>
      <c r="C8" s="12" t="inlineStr">
        <is>
          <t>Активная карточка предлагает участок 4.000 м², покупку и Nutzung: Gewerbe. Проектная страница Victoria Park подтверждает назначение Baufelder для service, производства, офисов или склада; Bebauungsplan Rahlstedt 131, категория GE, GRZ 0,75, максимальная высота 20 м. Инфраструктура проекта предусматривает защищённую пропускную способность до 100 Gbit/s; рядом A1 и A24. Flurstück в публичной карточке не указано.</t>
        </is>
      </c>
      <c r="D8" s="9" t="inlineStr">
        <is>
          <t>https://www.immobilienscout24.de/expose/161713282</t>
        </is>
      </c>
      <c r="E8" s="12" t="inlineStr">
        <is>
          <t>PASS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2026-10-02T09:41:34Z</dcterms:created>
  <dcterms:modified xmlns:dcterms="http://purl.org/dc/terms/" xmlns:xsi="http://www.w3.org/2001/XMLSchema-instance" xsi:type="dcterms:W3CDTF">2026-10-02T09:41:34Z</dcterms:modified>
</cp:coreProperties>
</file>